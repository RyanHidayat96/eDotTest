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exery\Documents\MyProject\TakeHomeTestEdot\test_cases\"/>
    </mc:Choice>
  </mc:AlternateContent>
  <xr:revisionPtr revIDLastSave="0" documentId="13_ncr:1_{1447A5E6-AC8E-4AF1-94C6-D974CE257EBC}" xr6:coauthVersionLast="47" xr6:coauthVersionMax="47" xr10:uidLastSave="{00000000-0000-0000-0000-000000000000}"/>
  <bookViews>
    <workbookView xWindow="-108" yWindow="-108" windowWidth="23256" windowHeight="13896" xr2:uid="{E620E1FE-B98E-4E19-BE64-26CDE79D6376}"/>
  </bookViews>
  <sheets>
    <sheet name="Overview" sheetId="4" r:id="rId1"/>
    <sheet name="Test Cases" sheetId="3" r:id="rId2"/>
    <sheet name="Traceability" sheetId="2" r:id="rId3"/>
    <sheet name="Execution Summary" sheetId="1" r:id="rId4"/>
  </sheets>
  <definedNames>
    <definedName name="_xlnm.Print_Area" localSheetId="3">'Execution Summary'!$A$1:$F$11</definedName>
    <definedName name="_xlnm.Print_Area" localSheetId="0">Overview!$A$1:$H$25</definedName>
    <definedName name="_xlnm.Print_Area" localSheetId="1">'Test Cases'!$A$1:$H$10</definedName>
    <definedName name="_xlnm.Print_Area" localSheetId="2">Traceability!$A$1:$G$12</definedName>
    <definedName name="_xlnm.Print_Titles" localSheetId="1">'Test Cases'!$1:$1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1" i="1" l="1"/>
  <c r="E10" i="1"/>
  <c r="E9" i="1"/>
  <c r="E8" i="1"/>
  <c r="E7" i="1"/>
  <c r="B11" i="1"/>
  <c r="B10" i="1"/>
  <c r="B9" i="1"/>
  <c r="B8" i="1"/>
  <c r="B7" i="1"/>
</calcChain>
</file>

<file path=xl/sharedStrings.xml><?xml version="1.0" encoding="utf-8"?>
<sst xmlns="http://schemas.openxmlformats.org/spreadsheetml/2006/main" count="194" uniqueCount="147">
  <si>
    <t>Manual test design for eSuite Web, eWork SFA Mobile, and the optional cross-platform handoff</t>
  </si>
  <si>
    <t>DOCUMENT CONTROL</t>
  </si>
  <si>
    <t>Document</t>
  </si>
  <si>
    <t>Manual Test Case Document</t>
  </si>
  <si>
    <t>Prepared by</t>
  </si>
  <si>
    <t>Ryan Hidayat</t>
  </si>
  <si>
    <t>Coverage</t>
  </si>
  <si>
    <t>Web login, company registration, persisted detail verification, company user creation, cleanup, mobile login, customer creation, and genuine web-to-mobile handoff</t>
  </si>
  <si>
    <t>TEST APPROACH</t>
  </si>
  <si>
    <t>Objective</t>
  </si>
  <si>
    <t>Verify user-visible behaviour and persisted data, with Tier 2 checks comparing the saved record against every submitted value instead of relying only on a success notification.</t>
  </si>
  <si>
    <t>Entry criteria</t>
  </si>
  <si>
    <t>Target systems are reachable; required accounts and devices are available; location and camera permissions are granted; test data from any prior run has been removed.</t>
  </si>
  <si>
    <t>Exit criteria</t>
  </si>
  <si>
    <t>All planned cases have a status; Tier 2 evidence includes the persisted values; created web data is deleted; every failure has reproducible evidence or a clear blocker note.</t>
  </si>
  <si>
    <t>Credential policy</t>
  </si>
  <si>
    <t>Credentials and API keys are not stored in this workbook or repository. Use the secure credentials supplied with the assignment or maintained in the local test environment.</t>
  </si>
  <si>
    <t>Test data policy</t>
  </si>
  <si>
    <t>Business records use fixed, readable manual values. System-generated identifiers and current-location addresses are recorded during execution and then reused for exact verification.</t>
  </si>
  <si>
    <t>Execution order</t>
  </si>
  <si>
    <t>Run web login and company creation first; verify detail; create the company user; run mobile login and customer creation; execute cleanup only after all dependent checks finish.</t>
  </si>
  <si>
    <t>Failure evidence</t>
  </si>
  <si>
    <t>Record the actual result, screenshot, timestamp, environment, and affected Test Case ID. Do not change an expected value merely to make a failed case pass.</t>
  </si>
  <si>
    <t>Negative coverage</t>
  </si>
  <si>
    <t>No negative case is invented. Add one only after the exact product error message has been observed, because the assignment requires a specific error assertion.</t>
  </si>
  <si>
    <t>ASSERTION AND STATUS RULES</t>
  </si>
  <si>
    <t>Type</t>
  </si>
  <si>
    <t>Definition</t>
  </si>
  <si>
    <t>Tier 1</t>
  </si>
  <si>
    <t>Navigation or display verification. The expected page or element must be visible.</t>
  </si>
  <si>
    <t>Tier 2</t>
  </si>
  <si>
    <t>Create, edit, or delete verification. Confirm the record state and compare persisted fields with submitted values.</t>
  </si>
  <si>
    <t>Negative</t>
  </si>
  <si>
    <t>Verify the exact product error message. Remaining on the same page is not sufficient.</t>
  </si>
  <si>
    <t>Status</t>
  </si>
  <si>
    <t>Leave blank before execution. During execution use Passed, Failed, or Blocked only.</t>
  </si>
  <si>
    <t>Test Case ID</t>
  </si>
  <si>
    <t>Title / Description</t>
  </si>
  <si>
    <t>Precondition</t>
  </si>
  <si>
    <t>Test Steps</t>
  </si>
  <si>
    <t>Test Data (exact values)</t>
  </si>
  <si>
    <t>Expected Result</t>
  </si>
  <si>
    <t>Assertion Tier</t>
  </si>
  <si>
    <t>Status (leave blank)</t>
  </si>
  <si>
    <t>WEB-TC-001</t>
  </si>
  <si>
    <t>Login to eSuite with valid credentials</t>
  </si>
  <si>
    <t>- eSuite is reachable.
- The browser is on the eSuite login page.
- Valid QA credentials from the assignment brief are available.</t>
  </si>
  <si>
    <t>1. Open https://esuite.edot.id.
2. Click Use Email or Username.
3. Enter the valid QA email from the assignment brief.
4. Submit the email.
5. Enter the matching QA password.
6. Submit the password.
7. Wait for the eDOT Account Center redirect to complete.
8. Observe the eSuite dashboard.</t>
  </si>
  <si>
    <t>URL: https://esuite.edot.id
Email: Valid QA email supplied in the assignment brief
Password: Matching QA password supplied in the assignment brief</t>
  </si>
  <si>
    <t>- Authentication succeeds.
- The user is redirected back to eSuite.
- The dashboard is displayed.
- The text "Welcome Back," is visible.</t>
  </si>
  <si>
    <t>WEB-TC-002</t>
  </si>
  <si>
    <t>Validate required fields and dependent location sequence on Register Company Step 1</t>
  </si>
  <si>
    <t>- WEB-TC-001 has passed.
- The Register Company wizard is open on Step 1.
- No company named PT Ritel Nusantara Manual QA exists.</t>
  </si>
  <si>
    <t>1. Leave all Step 1 fields blank.
2. Verify that Next is disabled.
3. Enter Company Name.
4. Enter Email.
5. Enter Phone.
6. Select Industry Type.
7. Select Company Type.
8. Select Language.
9. Enter Street Address.
10. Select Country.
11. Select Province.
12. Select City.
13. Select District.
14. Select Zone.
15. Verify that Postal Code is populated automatically.
16. Verify that Next is enabled.</t>
  </si>
  <si>
    <t>Company Name: PT Ritel Nusantara Manual QA
Email: qa.ritel.nusantara@example.test
Phone: 81234567890
Industry Type: Retail
Company Type: Retailer
Language: English
Street Address: Jalan Jenderal Sudirman Kav. 52-53
Country: Indonesia
Province: DKI Jakarta
City: Jakarta Selatan
District: Kebayoran Baru
Zone: Senayan
Postal Code: 12190</t>
  </si>
  <si>
    <t>- Next remains disabled while any required value is missing.
- Dependent location fields become available only after the preceding field is selected.
- Postal Code displays 12190 after Zone is selected.
- Next becomes enabled after all required values are valid.</t>
  </si>
  <si>
    <t>WEB-TC-003</t>
  </si>
  <si>
    <t>Create a company through the three-step Register Company wizard</t>
  </si>
  <si>
    <t>- WEB-TC-001 has passed.
- No company named PT Ritel Nusantara Manual QA exists.
- The tester is on the Companies page.</t>
  </si>
  <si>
    <t>1. Click + Add Company.
2. Complete Step 1 using the specified company data in the displayed field order.
3. Complete the location sequence from Country through Zone.
4. Verify that Postal Code displays 12190.
5. Click Next.
6. Review Step 2 and continue without changing optional values.
7. Enter Main as Branch Name on Step 3.
8. Click Fill in with the same data from the Company records.
9. Select the Terms and Conditions checkbox.
10. Submit the registration.
11. Verify that the success notification is displayed.
12. Open Companies and then Manage.
13. Locate the exact company name in the company list.</t>
  </si>
  <si>
    <t>Company Name: PT Ritel Nusantara Manual QA
Email: qa.ritel.nusantara@example.test
Phone: 81234567890
Industry Type: Retail
Company Type: Retailer
Language: English
Street Address: Jalan Jenderal Sudirman Kav. 52-53
Country: Indonesia
Province: DKI Jakarta
City: Jakarta Selatan
District: Kebayoran Baru
Zone: Senayan
Postal Code: 12190
Branch Name: Main
Terms and Conditions: Selected</t>
  </si>
  <si>
    <t>- Registration completes successfully.
- The success notification is displayed after submission.
- Exactly one company card with the name PT Ritel Nusantara Manual QA is present in Manage.
- The created company can be opened from its own Manage action.</t>
  </si>
  <si>
    <t>WEB-TC-004</t>
  </si>
  <si>
    <t>Verify that the created company detail matches every submitted value</t>
  </si>
  <si>
    <t>- WEB-TC-003 has passed.
- PT Ritel Nusantara Manual QA is visible in Companies &gt; Manage.
- The submitted values from WEB-TC-003 are available for comparison.</t>
  </si>
  <si>
    <t>1. Open Companies.
2. Open Manage.
3. Locate PT Ritel Nusantara Manual QA.
4. Click Manage on the same company card.
5. If Company Name remains empty for two seconds, refresh the detail page.
6. Compare Company Name with the submitted value.
7. Compare Industry Type with the submitted value.
8. Compare Company Type with the submitted value.
9. Compare Street Address with the submitted value.
10. Compare Postal Code with the submitted value.
11. Compare Email with the submitted value.
12. Compare Phone with the submitted value.
13. Record the Company ID shown in the detail view for later tests.</t>
  </si>
  <si>
    <t>Company Name: PT Ritel Nusantara Manual QA
Email: qa.ritel.nusantara@example.test
Phone: 81234567890
Industry Type: Retail
Company Type: Retailer
Street Address: Jalan Jenderal Sudirman Kav. 52-53
Postal Code: 12190</t>
  </si>
  <si>
    <t>- The opened detail belongs to PT Ritel Nusantara Manual QA.
- Company Name, Industry Type, Company Type, Street Address, Postal Code, Email, and Phone exactly match WEB-TC-003.
- A non-empty Company ID is displayed and recorded.</t>
  </si>
  <si>
    <t>WEB-TC-006</t>
  </si>
  <si>
    <t>Create an active company user for the eWork mobile login</t>
  </si>
  <si>
    <t>- WEB-TC-004 has passed.
- The tester is on the detail page for PT Ritel Nusantara Manual QA.
- A secure test password is available outside the repository and workbook.</t>
  </si>
  <si>
    <t>1. Open the Company User menu.
2. Click + Add User.
3. Select Active status.
4. Enter Name.
5. Enter Username.
6. Enter Employee ID.
7. Enter Email.
8. Enter Phone.
9. Enter the secure test password.
10. Click Next.
11. Click Add Branch.
12. Select Main.
13. Confirm the branch selection.
14. Click Submit Data.
15. Search for qausermanual in the Company User list.</t>
  </si>
  <si>
    <t>Name: QA Mobile User
Username: qausermanual
Employee ID: EMPMANUAL001
Email: qauser.manual@gmail.com
Phone: 81234567901
Password: Secure test password kept outside this workbook
Status: Active
Branch: Main</t>
  </si>
  <si>
    <t>- The Add Company User dialog closes successfully.
- Exactly one user with username qausermanual is displayed.
- The displayed email is qauser.manual@gmail.com.
- The user is active and assigned to Main.</t>
  </si>
  <si>
    <t>MOB-TC-001</t>
  </si>
  <si>
    <t>Login to eWork SFA using the newly created company user</t>
  </si>
  <si>
    <t>- WEB-TC-006 has passed.
- eWork SFA is installed on a connected Android device.
- The app is on the Login screen.
- The Company ID recorded in WEB-TC-004 is available.</t>
  </si>
  <si>
    <t>1. Launch eWork SFA from a logged-out state.
2. Enter the Company ID recorded in WEB-TC-004.
3. Enter qausermanual as Username.
4. Enter the same secure password used in WEB-TC-006.
5. Tap Sign In.
6. Wait for the dashboard to finish loading.
7. Observe the dashboard content.</t>
  </si>
  <si>
    <t>Company ID: Company ID recorded in WEB-TC-004
Username: qausermanual
Password: Same secure password used in WEB-TC-006</t>
  </si>
  <si>
    <t>- Authentication succeeds without a Not Registered message.
- The eWork dashboard is displayed.
- Dashboard content is visible and usable.</t>
  </si>
  <si>
    <t>MOB-TC-002</t>
  </si>
  <si>
    <t>Create a customer in eWork SFA and verify the saved customer card</t>
  </si>
  <si>
    <t>- MOB-TC-001 has passed.
- Location and camera permissions are allowed.
- No customer named Toko Sentosa Manual QA exists.
- The device has a stable network connection.</t>
  </si>
  <si>
    <t>1. Open New Customer. Scroll only if the menu is not visible.
2. Tap New Customer Registration.
3. Enter Outlet Name.
4. Enter Contact.
5. Enter Contact Person.
6. Select Channel and Customer Type.
7. Continue to Locations.
8. Select Address Type.
9. Tap Use my current location.
10. Verify Address is populated. Record the full value.
11. Select Province.
12. Select City.
13. Select District.
14. Select Sub District.
15. Verify Postal Code is populated. If blank, select 11530.
16. Continue to Documents.
17. Enter the 16-digit KTP number.
18. Tap Upload File and capture a new camera image.
19. Confirm the captured image.
20. Submit the document.
21. Draw one continuous signature stroke.
22. Tap Register or Save and confirm the registration.
23. Verify the success message and continue to New Customer List.
24. Check for the customer card in the current viewport.
25. If absent, fast-scroll to the bottom and check again.
26. If still absent, swipe up slowly up to four times and check after each swipe.</t>
  </si>
  <si>
    <t>Outlet Name: Toko Sentosa Manual QA
Contact: 81299900111
Contact Person: Raka Pratama
Channel: Modern Trade (MT)
Customer Type: Semi Grosir
Address Type: Delivery Address
Address: Complete value displayed after Use my current location
Province: DKI JAKARTA
City: JAKARTA BARAT
District: KEBON JERUK
Sub District: KEBON JERUK
Postal Code: 11530
KTP: 3175070101909999
Attachment: New photo captured by the device camera
Signature: One continuous handwritten stroke</t>
  </si>
  <si>
    <t>- The message Data Saved Successfully is displayed.
- A customer card named Toko Sentosa Manual QA is found within the defined search strategy.
- The card address exactly matches the complete Address value recorded before submission.
- The card customer type is Semi Grosir.
- The test fails if the card is absent after the bottom check and four upward searches.</t>
  </si>
  <si>
    <t>E2E-WEB-MOBILE-001</t>
  </si>
  <si>
    <t>Verify genuine company credential handoff from eSuite web to eWork mobile</t>
  </si>
  <si>
    <t>- eSuite and eWork SFA are available.
- Valid eSuite QA credentials are available.
- No company named PT Ritel Handoff Manual QA exists.
- The Android device is connected and on the eWork Login screen.</t>
  </si>
  <si>
    <t>1. Create PT Ritel Handoff Manual QA in eSuite using the WEB-TC-003 workflow.
2. Verify its persisted detail values using the WEB-TC-004 workflow.
3. Record its Company ID.
4. Create qauserhandoff under Company User using the WEB-TC-006 workflow.
5. Launch eWork SFA from a logged-out state.
6. Enter the newly created Company ID.
7. Enter qauserhandoff and its matching secure password.
8. Tap Sign In.
9. Verify that the eWork dashboard is displayed.
10. Return to eSuite after the mobile verification.
11. Delete PT Ritel Handoff Manual QA.
12. Verify that the handoff company no longer appears in Manage.</t>
  </si>
  <si>
    <t>Company Name: PT Ritel Handoff Manual QA
Company User Name: QA Handoff User
Username: qauserhandoff
Employee ID: EMPHANDOFF001
Email: qauser.handoff@gmail.com
Phone: 81234567902
Password: Secure test password kept outside this workbook
Status: Active
Branch: Main</t>
  </si>
  <si>
    <t>- eWork accepts the Company ID and company user created in the same web execution.
- The eWork dashboard is displayed.
- No fallback company identity is used.
- The handoff company is removed from eSuite after verification.</t>
  </si>
  <si>
    <t>WEB-TC-005</t>
  </si>
  <si>
    <t>Delete the created company after all dependent verification is complete</t>
  </si>
  <si>
    <t>- WEB-TC-003 and WEB-TC-004 have passed.
- MOB-TC-001 and MOB-TC-002 are complete when they depend on this company.
- The Company ID recorded in WEB-TC-004 is available.</t>
  </si>
  <si>
    <t>1. Open Companies.
2. Open Manage.
3. Locate PT Ritel Nusantara Manual QA by its exact name.
4. Confirm that the card has the Company ID recorded in WEB-TC-004.
5. Click Delete on that company detail page.
6. Select I understand and agree to delete.
7. Click Confirm.
8. Return to Companies &gt; Manage.
9. Search for the exact company name.
10. Search for the recorded Company ID.</t>
  </si>
  <si>
    <t>Company Name: PT Ritel Nusantara Manual QA
Company ID: Company ID recorded in WEB-TC-004
Delete confirmation: Selected</t>
  </si>
  <si>
    <t>- The delete action completes.
- No company card with the exact name PT Ritel Nusantara Manual QA is present.
- No company card with the recorded Company ID is present.
- The test remains failed if stale application data still exposes either identifier.</t>
  </si>
  <si>
    <t>REQUIREMENT TRACEABILITY MATRIX</t>
  </si>
  <si>
    <t>Requirement</t>
  </si>
  <si>
    <t>Platform</t>
  </si>
  <si>
    <t>Test Case IDs</t>
  </si>
  <si>
    <t>Assertion</t>
  </si>
  <si>
    <t>Automation entry point</t>
  </si>
  <si>
    <t>Notes</t>
  </si>
  <si>
    <t>Login to eSuite</t>
  </si>
  <si>
    <t>Web</t>
  </si>
  <si>
    <t>npm run test:web:login</t>
  </si>
  <si>
    <t>Covered</t>
  </si>
  <si>
    <t>Three-screen login and Account Center redirect</t>
  </si>
  <si>
    <t>Create a new company</t>
  </si>
  <si>
    <t>WEB-TC-002, WEB-TC-003</t>
  </si>
  <si>
    <t>Tier 1 / Tier 2</t>
  </si>
  <si>
    <t>npm run test:web:company</t>
  </si>
  <si>
    <t>Required fields, dependent location sequence, and persisted record</t>
  </si>
  <si>
    <t>Verify created company detail</t>
  </si>
  <si>
    <t>Field-by-field comparison of name, types, address, postal code, email, and phone</t>
  </si>
  <si>
    <t>Create Company User for mobile</t>
  </si>
  <si>
    <t>npm run test:handoff</t>
  </si>
  <si>
    <t>Supporting step required for a genuine mobile login</t>
  </si>
  <si>
    <t>Delete created company</t>
  </si>
  <si>
    <t>Exact name and Company ID must both be absent</t>
  </si>
  <si>
    <t>Login to eWork SFA</t>
  </si>
  <si>
    <t>Mobile</t>
  </si>
  <si>
    <t>npm run test:mobile:login</t>
  </si>
  <si>
    <t>Uses a valid company user identity</t>
  </si>
  <si>
    <t>Create and verify customer</t>
  </si>
  <si>
    <t>npm run test:mobile:customer</t>
  </si>
  <si>
    <t>Card name, captured address, and customer type are compared</t>
  </si>
  <si>
    <t>Genuine web-to-mobile handoff</t>
  </si>
  <si>
    <t>Cross-platform</t>
  </si>
  <si>
    <t>The mobile login consumes the company and Company User created by web</t>
  </si>
  <si>
    <t>MANUAL EXECUTION SUMMARY</t>
  </si>
  <si>
    <t>Update only the Status column on Test Cases. Blank status means not yet executed.</t>
  </si>
  <si>
    <t>Execution status</t>
  </si>
  <si>
    <t>Count</t>
  </si>
  <si>
    <t>Total test cases</t>
  </si>
  <si>
    <t>Not executed</t>
  </si>
  <si>
    <t>Passed</t>
  </si>
  <si>
    <t>Failed</t>
  </si>
  <si>
    <t>Blocked</t>
  </si>
  <si>
    <t>Coverage area</t>
  </si>
  <si>
    <t>WEB-TC-001 to WEB-TC-006</t>
  </si>
  <si>
    <t>MOB-TC-001 to MOB-TC-002</t>
  </si>
  <si>
    <t>Navigation and display</t>
  </si>
  <si>
    <t>Persisted data and cleanup</t>
  </si>
  <si>
    <t>eDOT QA MANUAL TEST 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</si>
</sst>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b/>
      <sz val="11"/>
      <color theme="1"/>
      <name val="Aptos Narrow"/>
      <family val="2"/>
      <scheme val="minor"/>
    </font>
    <font>
      <b/>
      <sz val="11"/>
      <color rgb="FFFFFFFF"/>
      <name val="Aptos Narrow"/>
      <family val="2"/>
      <scheme val="minor"/>
    </font>
    <font>
      <b/>
      <sz val="18"/>
      <color rgb="FFFFFFFF"/>
      <name val="Calibri"/>
      <family val="2"/>
    </font>
    <font>
      <i/>
      <sz val="11"/>
      <color rgb="FF595959"/>
      <name val="Calibri"/>
      <family val="2"/>
    </font>
    <font>
      <sz val="11"/>
      <color theme="1"/>
      <name val="Calibri"/>
      <family val="2"/>
    </font>
    <font>
      <b/>
      <sz val="11"/>
      <color rgb="FFFFFFFF"/>
      <name val="Calibri"/>
      <family val="2"/>
    </font>
    <font>
      <b/>
      <sz val="11"/>
      <color theme="1"/>
      <name val="Calibri"/>
      <family val="2"/>
    </font>
    <font>
      <sz val="9.5"/>
      <color theme="1"/>
      <name val="Calibri"/>
      <family val="2"/>
    </font>
    <font>
      <b/>
      <sz val="9.5"/>
      <color rgb="FFFFFFFF"/>
      <name val="Calibri"/>
      <family val="2"/>
    </font>
    <font>
      <b/>
      <sz val="16"/>
      <color rgb="FFFFFFFF"/>
      <name val="Aptos Narrow"/>
      <family val="2"/>
      <scheme val="minor"/>
    </font>
    <font>
      <sz val="10"/>
      <color theme="1"/>
      <name val="Calibri"/>
      <family val="2"/>
    </font>
  </fonts>
  <fills count="5">
    <fill>
      <patternFill patternType="none"/>
    </fill>
    <fill>
      <patternFill patternType="gray125"/>
    </fill>
    <fill>
      <patternFill patternType="solid">
        <fgColor rgb="FF17365D"/>
        <bgColor indexed="64"/>
      </patternFill>
    </fill>
    <fill>
      <patternFill patternType="solid">
        <fgColor rgb="FF1F4E79"/>
        <bgColor indexed="64"/>
      </patternFill>
    </fill>
    <fill>
      <patternFill patternType="solid">
        <fgColor rgb="FFDDEBF7"/>
        <bgColor indexed="64"/>
      </patternFill>
    </fill>
  </fills>
  <borders count="4">
    <border>
      <left/>
      <right/>
      <top/>
      <bottom/>
      <diagonal/>
    </border>
    <border>
      <left/>
      <right/>
      <top style="thin">
        <color rgb="FFD9E2EC"/>
      </top>
      <bottom/>
      <diagonal/>
    </border>
    <border>
      <left/>
      <right/>
      <top style="thin">
        <color rgb="FFD9E2EC"/>
      </top>
      <bottom style="thin">
        <color rgb="FFD9E2E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0" fontId="7" fillId="0" borderId="0" xfId="0" applyFont="1" applyAlignment="1">
      <alignment vertical="top" wrapText="1"/>
    </xf>
    <xf numFmtId="0" fontId="5" fillId="0" borderId="0" xfId="0" applyFont="1" applyAlignment="1">
      <alignment vertical="top" wrapText="1"/>
    </xf>
    <xf numFmtId="0" fontId="7" fillId="0" borderId="1" xfId="0" applyFont="1" applyBorder="1" applyAlignment="1">
      <alignment vertical="top" wrapText="1"/>
    </xf>
    <xf numFmtId="0" fontId="5" fillId="0" borderId="1" xfId="0" applyFont="1" applyBorder="1" applyAlignment="1">
      <alignment vertical="top" wrapText="1"/>
    </xf>
    <xf numFmtId="0" fontId="7" fillId="0" borderId="2" xfId="0" applyFont="1" applyBorder="1" applyAlignment="1">
      <alignment vertical="top" wrapText="1"/>
    </xf>
    <xf numFmtId="0" fontId="5" fillId="0" borderId="2" xfId="0" applyFont="1" applyBorder="1" applyAlignment="1">
      <alignment vertical="top" wrapText="1"/>
    </xf>
    <xf numFmtId="0" fontId="5" fillId="0" borderId="0" xfId="0" applyFont="1" applyAlignment="1">
      <alignment vertical="top"/>
    </xf>
    <xf numFmtId="0" fontId="8" fillId="0" borderId="0" xfId="0" applyFont="1" applyAlignment="1">
      <alignment vertical="top" wrapText="1"/>
    </xf>
    <xf numFmtId="0" fontId="9" fillId="3" borderId="0" xfId="0" applyFont="1" applyFill="1" applyAlignment="1">
      <alignment horizontal="center" vertical="center" wrapText="1"/>
    </xf>
    <xf numFmtId="0" fontId="8" fillId="0" borderId="0" xfId="0" applyFont="1" applyAlignment="1">
      <alignment horizontal="center" vertical="top" wrapText="1"/>
    </xf>
    <xf numFmtId="0" fontId="11" fillId="0" borderId="0" xfId="0" applyFont="1" applyAlignment="1">
      <alignment vertical="top" wrapText="1"/>
    </xf>
    <xf numFmtId="0" fontId="2" fillId="3" borderId="3" xfId="0" applyFont="1" applyFill="1" applyBorder="1" applyAlignment="1">
      <alignment vertical="center" wrapText="1"/>
    </xf>
    <xf numFmtId="0" fontId="0" fillId="0" borderId="0" xfId="0" applyAlignment="1">
      <alignment vertical="center" wrapText="1"/>
    </xf>
    <xf numFmtId="0" fontId="0" fillId="0" borderId="3" xfId="0" applyBorder="1" applyAlignment="1">
      <alignment vertical="center" wrapText="1"/>
    </xf>
    <xf numFmtId="0" fontId="5" fillId="0" borderId="0" xfId="0" applyFont="1" applyAlignment="1">
      <alignment vertical="top" wrapText="1"/>
    </xf>
    <xf numFmtId="0" fontId="5" fillId="0" borderId="1" xfId="0" applyFont="1" applyBorder="1" applyAlignment="1">
      <alignment vertical="top" wrapText="1"/>
    </xf>
    <xf numFmtId="0" fontId="5" fillId="0" borderId="2" xfId="0" applyFont="1" applyBorder="1" applyAlignment="1">
      <alignment vertical="top" wrapText="1"/>
    </xf>
    <xf numFmtId="0" fontId="6" fillId="3" borderId="0" xfId="0" applyFont="1" applyFill="1" applyAlignment="1">
      <alignment horizontal="left" vertical="top"/>
    </xf>
    <xf numFmtId="0" fontId="3" fillId="2" borderId="0" xfId="0" applyFont="1" applyFill="1" applyAlignment="1">
      <alignment horizontal="center" vertical="top"/>
    </xf>
    <xf numFmtId="0" fontId="4" fillId="0" borderId="0" xfId="0" applyFont="1" applyAlignment="1">
      <alignment horizontal="center" vertical="top"/>
    </xf>
    <xf numFmtId="0" fontId="10" fillId="2" borderId="0" xfId="0" applyFont="1" applyFill="1" applyAlignment="1">
      <alignment horizontal="center" vertical="center"/>
    </xf>
    <xf numFmtId="0" fontId="1" fillId="4" borderId="0" xfId="0" applyFont="1" applyFill="1" applyAlignment="1">
      <alignment horizontal="center"/>
    </xf>
    <xf numFmtId="0" fontId="7" fillId="4" borderId="0" xfId="0" applyFont="1" applyFill="1" applyAlignment="1">
      <alignment horizontal="center" vertical="top"/>
    </xf>
    <xf numFmtId="0" fontId="7" fillId="4" borderId="0" xfId="0" applyFont="1" applyFill="1" applyAlignment="1">
      <alignment horizontal="center" vertical="top"/>
    </xf>
  </cellXfs>
  <cellStyles count="1">
    <cellStyle name="Normal" xfId="0" builtinId="0"/>
  </cellStyles>
  <dxfs count="23">
    <dxf>
      <font>
        <color rgb="FF9C5700"/>
      </font>
      <fill>
        <patternFill>
          <bgColor rgb="FFFFEB9C"/>
        </patternFill>
      </fill>
    </dxf>
    <dxf>
      <font>
        <color rgb="FF9C0006"/>
      </font>
      <fill>
        <patternFill>
          <bgColor rgb="FFFFC7CE"/>
        </patternFill>
      </fill>
    </dxf>
    <dxf>
      <font>
        <color rgb="FF006100"/>
      </font>
      <fill>
        <patternFill>
          <bgColor rgb="FFE2EFDA"/>
        </patternFill>
      </fill>
    </dxf>
    <dxf>
      <font>
        <b val="0"/>
        <i val="0"/>
        <strike val="0"/>
        <condense val="0"/>
        <extend val="0"/>
        <outline val="0"/>
        <shadow val="0"/>
        <u val="none"/>
        <vertAlign val="baseline"/>
        <sz val="10"/>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9.5"/>
        <color theme="1"/>
        <name val="Calibri"/>
        <family val="2"/>
        <scheme val="none"/>
      </font>
      <alignment horizontal="center" vertical="top" textRotation="0" wrapText="1" indent="0" justifyLastLine="0" shrinkToFit="0" readingOrder="0"/>
    </dxf>
    <dxf>
      <font>
        <b val="0"/>
        <i val="0"/>
        <strike val="0"/>
        <condense val="0"/>
        <extend val="0"/>
        <outline val="0"/>
        <shadow val="0"/>
        <u val="none"/>
        <vertAlign val="baseline"/>
        <sz val="9.5"/>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9.5"/>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9.5"/>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9.5"/>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9.5"/>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9.5"/>
        <color theme="1"/>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9.5"/>
        <color theme="1"/>
        <name val="Calibri"/>
        <family val="2"/>
        <scheme val="none"/>
      </font>
      <alignment horizontal="general" vertical="top" textRotation="0" wrapText="1" indent="0" justifyLastLine="0" shrinkToFit="0" readingOrder="0"/>
    </dxf>
    <dxf>
      <border outline="0">
        <bottom style="thin">
          <color rgb="FFD9E2EC"/>
        </bottom>
      </border>
    </dxf>
    <dxf>
      <font>
        <b val="0"/>
        <i val="0"/>
        <strike val="0"/>
        <condense val="0"/>
        <extend val="0"/>
        <outline val="0"/>
        <shadow val="0"/>
        <u val="none"/>
        <vertAlign val="baseline"/>
        <sz val="9.5"/>
        <color theme="1"/>
        <name val="Calibri"/>
        <family val="2"/>
        <scheme val="none"/>
      </font>
      <alignment horizontal="general" vertical="top" textRotation="0" wrapText="1" indent="0" justifyLastLine="0" shrinkToFit="0" readingOrder="0"/>
    </dxf>
    <dxf>
      <font>
        <b/>
        <i val="0"/>
        <strike val="0"/>
        <condense val="0"/>
        <extend val="0"/>
        <outline val="0"/>
        <shadow val="0"/>
        <u val="none"/>
        <vertAlign val="baseline"/>
        <sz val="9.5"/>
        <color rgb="FFFFFFFF"/>
        <name val="Calibri"/>
        <family val="2"/>
        <scheme val="none"/>
      </font>
      <fill>
        <patternFill patternType="solid">
          <fgColor indexed="64"/>
          <bgColor rgb="FF1F4E79"/>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0E4580-6F58-4AF0-B726-B25467E2497D}" name="ManualTestCases" displayName="ManualTestCases" ref="A1:H10" totalsRowShown="0" headerRowDxfId="22" dataDxfId="21" tableBorderDxfId="20">
  <autoFilter ref="A1:H10" xr:uid="{CD0E4580-6F58-4AF0-B726-B25467E2497D}"/>
  <tableColumns count="8">
    <tableColumn id="1" xr3:uid="{3CF1E752-8617-40B0-8BC4-187730D177DD}" name="Test Case ID" dataDxfId="19"/>
    <tableColumn id="2" xr3:uid="{116E0215-5E36-4656-A4FD-6652F54D65CF}" name="Title / Description" dataDxfId="18"/>
    <tableColumn id="3" xr3:uid="{C3E769F9-2810-4273-9E1B-A3D328BD9457}" name="Precondition" dataDxfId="17"/>
    <tableColumn id="4" xr3:uid="{5A2A20CF-02BB-4B59-A3F3-76EAAB3DD946}" name="Test Steps" dataDxfId="16"/>
    <tableColumn id="5" xr3:uid="{9788B76E-E780-4582-B5F0-7EE53BCBDAAA}" name="Test Data (exact values)" dataDxfId="15"/>
    <tableColumn id="6" xr3:uid="{97360913-BB4A-4290-99FD-E2731907C7B4}" name="Expected Result" dataDxfId="14"/>
    <tableColumn id="7" xr3:uid="{E2E6CC80-106A-4FB8-846B-01CC6AD97AD2}" name="Assertion Tier" dataDxfId="13"/>
    <tableColumn id="8" xr3:uid="{F1AC4DBA-A09C-47FF-B822-B79291DFFAD8}" name="Status (leave blank)" dataDxfId="1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CE02DC-4E61-4CEA-A80F-3DC4CE38C11F}" name="RequirementTraceability" displayName="RequirementTraceability" ref="A4:G12" totalsRowShown="0" headerRowDxfId="11" dataDxfId="10">
  <autoFilter ref="A4:G12" xr:uid="{ABCE02DC-4E61-4CEA-A80F-3DC4CE38C11F}"/>
  <tableColumns count="7">
    <tableColumn id="1" xr3:uid="{B04274B8-3049-49EC-99A3-D152574B1E8B}" name="Requirement" dataDxfId="9"/>
    <tableColumn id="2" xr3:uid="{9E7E0858-D9FF-4A5D-B6DB-7B4B3CB9DD49}" name="Platform" dataDxfId="8"/>
    <tableColumn id="3" xr3:uid="{3C1BE2CC-391B-4A00-9BF4-8210652CFCDC}" name="Test Case IDs" dataDxfId="7"/>
    <tableColumn id="4" xr3:uid="{A3687731-46F1-4384-ADBF-CB5B1D51155B}" name="Assertion" dataDxfId="6"/>
    <tableColumn id="5" xr3:uid="{C562F50F-AB2F-4466-AFC6-D97A3502696B}" name="Automation entry point" dataDxfId="5"/>
    <tableColumn id="6" xr3:uid="{0A54BB45-A3BF-4463-9A52-559FB3B36A02}" name="Coverage" dataDxfId="4"/>
    <tableColumn id="7" xr3:uid="{F230B253-615D-40E8-8844-5E5E31059612}" name="Notes"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C6129-4FA6-4613-AC1A-3B943EDAEC35}">
  <sheetPr>
    <pageSetUpPr fitToPage="1"/>
  </sheetPr>
  <dimension ref="A1:H25"/>
  <sheetViews>
    <sheetView showGridLines="0" tabSelected="1" topLeftCell="A13" zoomScale="85" zoomScaleNormal="85" workbookViewId="0">
      <selection activeCell="J19" sqref="J19"/>
    </sheetView>
  </sheetViews>
  <sheetFormatPr defaultRowHeight="14.4" x14ac:dyDescent="0.3"/>
  <cols>
    <col min="1" max="1" width="22.77734375" customWidth="1"/>
    <col min="2" max="8" width="16.77734375" customWidth="1"/>
  </cols>
  <sheetData>
    <row r="1" spans="1:8" x14ac:dyDescent="0.3">
      <c r="A1" s="19" t="s">
        <v>146</v>
      </c>
      <c r="B1" s="19"/>
      <c r="C1" s="19"/>
      <c r="D1" s="19"/>
      <c r="E1" s="19"/>
      <c r="F1" s="19"/>
      <c r="G1" s="19"/>
      <c r="H1" s="19"/>
    </row>
    <row r="2" spans="1:8" x14ac:dyDescent="0.3">
      <c r="A2" s="19"/>
      <c r="B2" s="19"/>
      <c r="C2" s="19"/>
      <c r="D2" s="19"/>
      <c r="E2" s="19"/>
      <c r="F2" s="19"/>
      <c r="G2" s="19"/>
      <c r="H2" s="19"/>
    </row>
    <row r="3" spans="1:8" ht="24" customHeight="1" x14ac:dyDescent="0.3">
      <c r="A3" s="20" t="s">
        <v>0</v>
      </c>
      <c r="B3" s="20"/>
      <c r="C3" s="20"/>
      <c r="D3" s="20"/>
      <c r="E3" s="20"/>
      <c r="F3" s="20"/>
      <c r="G3" s="20"/>
      <c r="H3" s="20"/>
    </row>
    <row r="4" spans="1:8" x14ac:dyDescent="0.3">
      <c r="A4" s="7"/>
      <c r="B4" s="7"/>
      <c r="C4" s="7"/>
      <c r="D4" s="7"/>
      <c r="E4" s="7"/>
      <c r="F4" s="7"/>
      <c r="G4" s="7"/>
      <c r="H4" s="7"/>
    </row>
    <row r="5" spans="1:8" ht="24" customHeight="1" x14ac:dyDescent="0.3">
      <c r="A5" s="18" t="s">
        <v>1</v>
      </c>
      <c r="B5" s="18"/>
      <c r="C5" s="18"/>
      <c r="D5" s="18"/>
      <c r="E5" s="18"/>
      <c r="F5" s="18"/>
      <c r="G5" s="18"/>
      <c r="H5" s="18"/>
    </row>
    <row r="6" spans="1:8" ht="28.05" customHeight="1" x14ac:dyDescent="0.3">
      <c r="A6" s="1" t="s">
        <v>2</v>
      </c>
      <c r="B6" s="15" t="s">
        <v>3</v>
      </c>
      <c r="C6" s="15"/>
      <c r="D6" s="15"/>
      <c r="E6" s="15"/>
      <c r="F6" s="15"/>
      <c r="G6" s="15"/>
      <c r="H6" s="15"/>
    </row>
    <row r="7" spans="1:8" ht="28.05" customHeight="1" x14ac:dyDescent="0.3">
      <c r="A7" s="3" t="s">
        <v>4</v>
      </c>
      <c r="B7" s="16" t="s">
        <v>5</v>
      </c>
      <c r="C7" s="16"/>
      <c r="D7" s="16"/>
      <c r="E7" s="16"/>
      <c r="F7" s="16"/>
      <c r="G7" s="16"/>
      <c r="H7" s="16"/>
    </row>
    <row r="8" spans="1:8" ht="28.05" customHeight="1" x14ac:dyDescent="0.3">
      <c r="A8" s="5" t="s">
        <v>6</v>
      </c>
      <c r="B8" s="17" t="s">
        <v>7</v>
      </c>
      <c r="C8" s="17"/>
      <c r="D8" s="17"/>
      <c r="E8" s="17"/>
      <c r="F8" s="17"/>
      <c r="G8" s="17"/>
      <c r="H8" s="17"/>
    </row>
    <row r="9" spans="1:8" x14ac:dyDescent="0.3">
      <c r="A9" s="7"/>
      <c r="B9" s="7"/>
      <c r="C9" s="7"/>
      <c r="D9" s="7"/>
      <c r="E9" s="7"/>
      <c r="F9" s="7"/>
      <c r="G9" s="7"/>
      <c r="H9" s="7"/>
    </row>
    <row r="10" spans="1:8" ht="24" customHeight="1" x14ac:dyDescent="0.3">
      <c r="A10" s="18" t="s">
        <v>8</v>
      </c>
      <c r="B10" s="18"/>
      <c r="C10" s="18"/>
      <c r="D10" s="18"/>
      <c r="E10" s="18"/>
      <c r="F10" s="18"/>
      <c r="G10" s="18"/>
      <c r="H10" s="18"/>
    </row>
    <row r="11" spans="1:8" ht="42" customHeight="1" x14ac:dyDescent="0.3">
      <c r="A11" s="1" t="s">
        <v>9</v>
      </c>
      <c r="B11" s="15" t="s">
        <v>10</v>
      </c>
      <c r="C11" s="15"/>
      <c r="D11" s="15"/>
      <c r="E11" s="15"/>
      <c r="F11" s="15"/>
      <c r="G11" s="15"/>
      <c r="H11" s="15"/>
    </row>
    <row r="12" spans="1:8" ht="42" customHeight="1" x14ac:dyDescent="0.3">
      <c r="A12" s="3" t="s">
        <v>11</v>
      </c>
      <c r="B12" s="16" t="s">
        <v>12</v>
      </c>
      <c r="C12" s="16"/>
      <c r="D12" s="16"/>
      <c r="E12" s="16"/>
      <c r="F12" s="16"/>
      <c r="G12" s="16"/>
      <c r="H12" s="16"/>
    </row>
    <row r="13" spans="1:8" ht="42" customHeight="1" x14ac:dyDescent="0.3">
      <c r="A13" s="3" t="s">
        <v>13</v>
      </c>
      <c r="B13" s="16" t="s">
        <v>14</v>
      </c>
      <c r="C13" s="16"/>
      <c r="D13" s="16"/>
      <c r="E13" s="16"/>
      <c r="F13" s="16"/>
      <c r="G13" s="16"/>
      <c r="H13" s="16"/>
    </row>
    <row r="14" spans="1:8" ht="42" customHeight="1" x14ac:dyDescent="0.3">
      <c r="A14" s="3" t="s">
        <v>15</v>
      </c>
      <c r="B14" s="16" t="s">
        <v>16</v>
      </c>
      <c r="C14" s="16"/>
      <c r="D14" s="16"/>
      <c r="E14" s="16"/>
      <c r="F14" s="16"/>
      <c r="G14" s="16"/>
      <c r="H14" s="16"/>
    </row>
    <row r="15" spans="1:8" ht="42" customHeight="1" x14ac:dyDescent="0.3">
      <c r="A15" s="3" t="s">
        <v>17</v>
      </c>
      <c r="B15" s="16" t="s">
        <v>18</v>
      </c>
      <c r="C15" s="16"/>
      <c r="D15" s="16"/>
      <c r="E15" s="16"/>
      <c r="F15" s="16"/>
      <c r="G15" s="16"/>
      <c r="H15" s="16"/>
    </row>
    <row r="16" spans="1:8" ht="42" customHeight="1" x14ac:dyDescent="0.3">
      <c r="A16" s="3" t="s">
        <v>19</v>
      </c>
      <c r="B16" s="16" t="s">
        <v>20</v>
      </c>
      <c r="C16" s="16"/>
      <c r="D16" s="16"/>
      <c r="E16" s="16"/>
      <c r="F16" s="16"/>
      <c r="G16" s="16"/>
      <c r="H16" s="16"/>
    </row>
    <row r="17" spans="1:8" ht="42" customHeight="1" x14ac:dyDescent="0.3">
      <c r="A17" s="3" t="s">
        <v>21</v>
      </c>
      <c r="B17" s="16" t="s">
        <v>22</v>
      </c>
      <c r="C17" s="16"/>
      <c r="D17" s="16"/>
      <c r="E17" s="16"/>
      <c r="F17" s="16"/>
      <c r="G17" s="16"/>
      <c r="H17" s="16"/>
    </row>
    <row r="18" spans="1:8" ht="42" customHeight="1" x14ac:dyDescent="0.3">
      <c r="A18" s="5" t="s">
        <v>23</v>
      </c>
      <c r="B18" s="17" t="s">
        <v>24</v>
      </c>
      <c r="C18" s="17"/>
      <c r="D18" s="17"/>
      <c r="E18" s="17"/>
      <c r="F18" s="17"/>
      <c r="G18" s="17"/>
      <c r="H18" s="17"/>
    </row>
    <row r="19" spans="1:8" x14ac:dyDescent="0.3">
      <c r="A19" s="7"/>
      <c r="B19" s="7"/>
      <c r="C19" s="7"/>
      <c r="D19" s="7"/>
      <c r="E19" s="7"/>
      <c r="F19" s="7"/>
      <c r="G19" s="7"/>
      <c r="H19" s="7"/>
    </row>
    <row r="20" spans="1:8" ht="24" customHeight="1" x14ac:dyDescent="0.3">
      <c r="A20" s="18" t="s">
        <v>25</v>
      </c>
      <c r="B20" s="18"/>
      <c r="C20" s="18"/>
      <c r="D20" s="18"/>
      <c r="E20" s="18"/>
      <c r="F20" s="18"/>
      <c r="G20" s="18"/>
      <c r="H20" s="18"/>
    </row>
    <row r="21" spans="1:8" x14ac:dyDescent="0.3">
      <c r="A21" s="23" t="s">
        <v>26</v>
      </c>
      <c r="B21" s="24" t="s">
        <v>27</v>
      </c>
      <c r="C21" s="24"/>
      <c r="D21" s="24"/>
      <c r="E21" s="24"/>
      <c r="F21" s="24"/>
      <c r="G21" s="24"/>
      <c r="H21" s="24"/>
    </row>
    <row r="22" spans="1:8" ht="30" customHeight="1" x14ac:dyDescent="0.3">
      <c r="A22" s="2" t="s">
        <v>28</v>
      </c>
      <c r="B22" s="15" t="s">
        <v>29</v>
      </c>
      <c r="C22" s="15"/>
      <c r="D22" s="15"/>
      <c r="E22" s="15"/>
      <c r="F22" s="15"/>
      <c r="G22" s="15"/>
      <c r="H22" s="15"/>
    </row>
    <row r="23" spans="1:8" ht="30" customHeight="1" x14ac:dyDescent="0.3">
      <c r="A23" s="4" t="s">
        <v>30</v>
      </c>
      <c r="B23" s="16" t="s">
        <v>31</v>
      </c>
      <c r="C23" s="16"/>
      <c r="D23" s="16"/>
      <c r="E23" s="16"/>
      <c r="F23" s="16"/>
      <c r="G23" s="16"/>
      <c r="H23" s="16"/>
    </row>
    <row r="24" spans="1:8" ht="30" customHeight="1" x14ac:dyDescent="0.3">
      <c r="A24" s="4" t="s">
        <v>32</v>
      </c>
      <c r="B24" s="16" t="s">
        <v>33</v>
      </c>
      <c r="C24" s="16"/>
      <c r="D24" s="16"/>
      <c r="E24" s="16"/>
      <c r="F24" s="16"/>
      <c r="G24" s="16"/>
      <c r="H24" s="16"/>
    </row>
    <row r="25" spans="1:8" ht="30" customHeight="1" x14ac:dyDescent="0.3">
      <c r="A25" s="6" t="s">
        <v>34</v>
      </c>
      <c r="B25" s="17" t="s">
        <v>35</v>
      </c>
      <c r="C25" s="17"/>
      <c r="D25" s="17"/>
      <c r="E25" s="17"/>
      <c r="F25" s="17"/>
      <c r="G25" s="17"/>
      <c r="H25" s="17"/>
    </row>
  </sheetData>
  <mergeCells count="21">
    <mergeCell ref="B13:H13"/>
    <mergeCell ref="A1:H2"/>
    <mergeCell ref="A3:H3"/>
    <mergeCell ref="A5:H5"/>
    <mergeCell ref="B6:H6"/>
    <mergeCell ref="B7:H7"/>
    <mergeCell ref="B8:H8"/>
    <mergeCell ref="A10:H10"/>
    <mergeCell ref="B11:H11"/>
    <mergeCell ref="B12:H12"/>
    <mergeCell ref="B22:H22"/>
    <mergeCell ref="B23:H23"/>
    <mergeCell ref="B24:H24"/>
    <mergeCell ref="B25:H25"/>
    <mergeCell ref="B14:H14"/>
    <mergeCell ref="B15:H15"/>
    <mergeCell ref="B16:H16"/>
    <mergeCell ref="B17:H17"/>
    <mergeCell ref="B18:H18"/>
    <mergeCell ref="A20:H20"/>
    <mergeCell ref="B21:H21"/>
  </mergeCells>
  <printOptions horizontalCentered="1"/>
  <pageMargins left="0.35" right="0.35" top="0.4" bottom="0.4" header="0.3" footer="0.3"/>
  <pageSetup paperSize="9" scale="6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1281A2-E33A-4B48-BAD6-4B7827422DB9}">
  <sheetPr>
    <pageSetUpPr fitToPage="1"/>
  </sheetPr>
  <dimension ref="A1:H10"/>
  <sheetViews>
    <sheetView showGridLines="0" zoomScale="85" zoomScaleNormal="85" workbookViewId="0">
      <pane ySplit="1" topLeftCell="A5" activePane="bottomLeft" state="frozenSplit"/>
      <selection pane="bottomLeft" activeCell="E3" sqref="E3"/>
    </sheetView>
  </sheetViews>
  <sheetFormatPr defaultRowHeight="14.4" x14ac:dyDescent="0.3"/>
  <cols>
    <col min="1" max="1" width="16.77734375" customWidth="1"/>
    <col min="2" max="2" width="34.77734375" customWidth="1"/>
    <col min="3" max="3" width="38.77734375" customWidth="1"/>
    <col min="4" max="4" width="62.77734375" customWidth="1"/>
    <col min="5" max="5" width="45.77734375" customWidth="1"/>
    <col min="6" max="6" width="48.77734375" customWidth="1"/>
    <col min="7" max="7" width="15.77734375" customWidth="1"/>
    <col min="8" max="8" width="18.77734375" customWidth="1"/>
  </cols>
  <sheetData>
    <row r="1" spans="1:8" ht="30" customHeight="1" x14ac:dyDescent="0.3">
      <c r="A1" s="9" t="s">
        <v>36</v>
      </c>
      <c r="B1" s="9" t="s">
        <v>37</v>
      </c>
      <c r="C1" s="9" t="s">
        <v>38</v>
      </c>
      <c r="D1" s="9" t="s">
        <v>39</v>
      </c>
      <c r="E1" s="9" t="s">
        <v>40</v>
      </c>
      <c r="F1" s="9" t="s">
        <v>41</v>
      </c>
      <c r="G1" s="9" t="s">
        <v>42</v>
      </c>
      <c r="H1" s="9" t="s">
        <v>43</v>
      </c>
    </row>
    <row r="2" spans="1:8" ht="100.8" x14ac:dyDescent="0.3">
      <c r="A2" s="8" t="s">
        <v>44</v>
      </c>
      <c r="B2" s="8" t="s">
        <v>45</v>
      </c>
      <c r="C2" s="8" t="s">
        <v>46</v>
      </c>
      <c r="D2" s="8" t="s">
        <v>47</v>
      </c>
      <c r="E2" s="8" t="s">
        <v>48</v>
      </c>
      <c r="F2" s="8" t="s">
        <v>49</v>
      </c>
      <c r="G2" s="8" t="s">
        <v>28</v>
      </c>
      <c r="H2" s="10"/>
    </row>
    <row r="3" spans="1:8" ht="201.6" x14ac:dyDescent="0.3">
      <c r="A3" s="8" t="s">
        <v>50</v>
      </c>
      <c r="B3" s="8" t="s">
        <v>51</v>
      </c>
      <c r="C3" s="8" t="s">
        <v>52</v>
      </c>
      <c r="D3" s="8" t="s">
        <v>53</v>
      </c>
      <c r="E3" s="8" t="s">
        <v>54</v>
      </c>
      <c r="F3" s="8" t="s">
        <v>55</v>
      </c>
      <c r="G3" s="8" t="s">
        <v>28</v>
      </c>
      <c r="H3" s="10"/>
    </row>
    <row r="4" spans="1:8" ht="189" x14ac:dyDescent="0.3">
      <c r="A4" s="8" t="s">
        <v>56</v>
      </c>
      <c r="B4" s="8" t="s">
        <v>57</v>
      </c>
      <c r="C4" s="8" t="s">
        <v>58</v>
      </c>
      <c r="D4" s="8" t="s">
        <v>59</v>
      </c>
      <c r="E4" s="8" t="s">
        <v>60</v>
      </c>
      <c r="F4" s="8" t="s">
        <v>61</v>
      </c>
      <c r="G4" s="8" t="s">
        <v>30</v>
      </c>
      <c r="H4" s="10"/>
    </row>
    <row r="5" spans="1:8" ht="163.80000000000001" x14ac:dyDescent="0.3">
      <c r="A5" s="8" t="s">
        <v>62</v>
      </c>
      <c r="B5" s="8" t="s">
        <v>63</v>
      </c>
      <c r="C5" s="8" t="s">
        <v>64</v>
      </c>
      <c r="D5" s="8" t="s">
        <v>65</v>
      </c>
      <c r="E5" s="8" t="s">
        <v>66</v>
      </c>
      <c r="F5" s="8" t="s">
        <v>67</v>
      </c>
      <c r="G5" s="8" t="s">
        <v>30</v>
      </c>
      <c r="H5" s="10"/>
    </row>
    <row r="6" spans="1:8" ht="189" x14ac:dyDescent="0.3">
      <c r="A6" s="8" t="s">
        <v>68</v>
      </c>
      <c r="B6" s="8" t="s">
        <v>69</v>
      </c>
      <c r="C6" s="8" t="s">
        <v>70</v>
      </c>
      <c r="D6" s="8" t="s">
        <v>71</v>
      </c>
      <c r="E6" s="8" t="s">
        <v>72</v>
      </c>
      <c r="F6" s="8" t="s">
        <v>73</v>
      </c>
      <c r="G6" s="8" t="s">
        <v>30</v>
      </c>
      <c r="H6" s="10"/>
    </row>
    <row r="7" spans="1:8" ht="88.2" x14ac:dyDescent="0.3">
      <c r="A7" s="8" t="s">
        <v>74</v>
      </c>
      <c r="B7" s="8" t="s">
        <v>75</v>
      </c>
      <c r="C7" s="8" t="s">
        <v>76</v>
      </c>
      <c r="D7" s="8" t="s">
        <v>77</v>
      </c>
      <c r="E7" s="8" t="s">
        <v>78</v>
      </c>
      <c r="F7" s="8" t="s">
        <v>79</v>
      </c>
      <c r="G7" s="8" t="s">
        <v>28</v>
      </c>
      <c r="H7" s="10"/>
    </row>
    <row r="8" spans="1:8" ht="327.60000000000002" x14ac:dyDescent="0.3">
      <c r="A8" s="8" t="s">
        <v>80</v>
      </c>
      <c r="B8" s="8" t="s">
        <v>81</v>
      </c>
      <c r="C8" s="8" t="s">
        <v>82</v>
      </c>
      <c r="D8" s="8" t="s">
        <v>83</v>
      </c>
      <c r="E8" s="8" t="s">
        <v>84</v>
      </c>
      <c r="F8" s="8" t="s">
        <v>85</v>
      </c>
      <c r="G8" s="8" t="s">
        <v>30</v>
      </c>
      <c r="H8" s="10"/>
    </row>
    <row r="9" spans="1:8" ht="151.19999999999999" x14ac:dyDescent="0.3">
      <c r="A9" s="8" t="s">
        <v>86</v>
      </c>
      <c r="B9" s="8" t="s">
        <v>87</v>
      </c>
      <c r="C9" s="8" t="s">
        <v>88</v>
      </c>
      <c r="D9" s="8" t="s">
        <v>89</v>
      </c>
      <c r="E9" s="8" t="s">
        <v>90</v>
      </c>
      <c r="F9" s="8" t="s">
        <v>91</v>
      </c>
      <c r="G9" s="8" t="s">
        <v>30</v>
      </c>
      <c r="H9" s="10"/>
    </row>
    <row r="10" spans="1:8" ht="126" x14ac:dyDescent="0.3">
      <c r="A10" s="8" t="s">
        <v>92</v>
      </c>
      <c r="B10" s="8" t="s">
        <v>93</v>
      </c>
      <c r="C10" s="8" t="s">
        <v>94</v>
      </c>
      <c r="D10" s="8" t="s">
        <v>95</v>
      </c>
      <c r="E10" s="8" t="s">
        <v>96</v>
      </c>
      <c r="F10" s="8" t="s">
        <v>97</v>
      </c>
      <c r="G10" s="8" t="s">
        <v>30</v>
      </c>
      <c r="H10" s="10"/>
    </row>
  </sheetData>
  <conditionalFormatting sqref="H2:H10">
    <cfRule type="expression" dxfId="2" priority="1" stopIfTrue="1">
      <formula>$H2="Passed"</formula>
    </cfRule>
    <cfRule type="expression" dxfId="1" priority="2" stopIfTrue="1">
      <formula>$H2="Failed"</formula>
    </cfRule>
    <cfRule type="expression" dxfId="0" priority="3" stopIfTrue="1">
      <formula>$H2="Blocked"</formula>
    </cfRule>
  </conditionalFormatting>
  <dataValidations count="1">
    <dataValidation type="list" allowBlank="1" showInputMessage="1" showErrorMessage="1" sqref="H2:H10" xr:uid="{4B13C19D-D9D2-4587-A5DA-EE0B339BCFDD}">
      <formula1>"Passed,Failed,Blocked"</formula1>
    </dataValidation>
  </dataValidations>
  <pageMargins left="0.25" right="0.25" top="0.5" bottom="0.5" header="0.3" footer="0.3"/>
  <pageSetup paperSize="8" scale="72" fitToHeight="0" orientation="landscape" r:id="rId1"/>
  <headerFooter>
    <oddFooter>&amp;CPage &amp;P of &amp;N</oddFooter>
  </headerFooter>
  <rowBreaks count="2" manualBreakCount="2">
    <brk id="5" max="7" man="1"/>
    <brk id="9" max="7" man="1"/>
  </rowBreak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E3A44-B286-4651-BF1F-DEF8A0B2C05C}">
  <sheetPr>
    <pageSetUpPr fitToPage="1"/>
  </sheetPr>
  <dimension ref="A1:G12"/>
  <sheetViews>
    <sheetView showGridLines="0" zoomScale="85" zoomScaleNormal="85" workbookViewId="0">
      <selection activeCell="C26" sqref="C26"/>
    </sheetView>
  </sheetViews>
  <sheetFormatPr defaultRowHeight="14.4" x14ac:dyDescent="0.3"/>
  <cols>
    <col min="1" max="1" width="31.77734375" customWidth="1"/>
    <col min="2" max="2" width="16.77734375" customWidth="1"/>
    <col min="3" max="3" width="25.77734375" customWidth="1"/>
    <col min="4" max="4" width="15.77734375" customWidth="1"/>
    <col min="5" max="5" width="29.77734375" customWidth="1"/>
    <col min="6" max="6" width="14.77734375" customWidth="1"/>
    <col min="7" max="7" width="54.77734375" customWidth="1"/>
  </cols>
  <sheetData>
    <row r="1" spans="1:7" x14ac:dyDescent="0.3">
      <c r="A1" s="21" t="s">
        <v>98</v>
      </c>
      <c r="B1" s="21"/>
      <c r="C1" s="21"/>
      <c r="D1" s="21"/>
      <c r="E1" s="21"/>
      <c r="F1" s="21"/>
      <c r="G1" s="21"/>
    </row>
    <row r="2" spans="1:7" x14ac:dyDescent="0.3">
      <c r="A2" s="21"/>
      <c r="B2" s="21"/>
      <c r="C2" s="21"/>
      <c r="D2" s="21"/>
      <c r="E2" s="21"/>
      <c r="F2" s="21"/>
      <c r="G2" s="21"/>
    </row>
    <row r="4" spans="1:7" ht="41.4" x14ac:dyDescent="0.3">
      <c r="A4" s="11" t="s">
        <v>99</v>
      </c>
      <c r="B4" s="11" t="s">
        <v>100</v>
      </c>
      <c r="C4" s="11" t="s">
        <v>101</v>
      </c>
      <c r="D4" s="11" t="s">
        <v>102</v>
      </c>
      <c r="E4" s="11" t="s">
        <v>103</v>
      </c>
      <c r="F4" s="11" t="s">
        <v>6</v>
      </c>
      <c r="G4" s="11" t="s">
        <v>104</v>
      </c>
    </row>
    <row r="5" spans="1:7" x14ac:dyDescent="0.3">
      <c r="A5" s="11" t="s">
        <v>105</v>
      </c>
      <c r="B5" s="11" t="s">
        <v>106</v>
      </c>
      <c r="C5" s="11" t="s">
        <v>44</v>
      </c>
      <c r="D5" s="11" t="s">
        <v>28</v>
      </c>
      <c r="E5" s="11" t="s">
        <v>107</v>
      </c>
      <c r="F5" s="11" t="s">
        <v>108</v>
      </c>
      <c r="G5" s="11" t="s">
        <v>109</v>
      </c>
    </row>
    <row r="6" spans="1:7" x14ac:dyDescent="0.3">
      <c r="A6" s="11" t="s">
        <v>110</v>
      </c>
      <c r="B6" s="11" t="s">
        <v>106</v>
      </c>
      <c r="C6" s="11" t="s">
        <v>111</v>
      </c>
      <c r="D6" s="11" t="s">
        <v>112</v>
      </c>
      <c r="E6" s="11" t="s">
        <v>113</v>
      </c>
      <c r="F6" s="11" t="s">
        <v>108</v>
      </c>
      <c r="G6" s="11" t="s">
        <v>114</v>
      </c>
    </row>
    <row r="7" spans="1:7" ht="27.6" x14ac:dyDescent="0.3">
      <c r="A7" s="11" t="s">
        <v>115</v>
      </c>
      <c r="B7" s="11" t="s">
        <v>106</v>
      </c>
      <c r="C7" s="11" t="s">
        <v>62</v>
      </c>
      <c r="D7" s="11" t="s">
        <v>30</v>
      </c>
      <c r="E7" s="11" t="s">
        <v>113</v>
      </c>
      <c r="F7" s="11" t="s">
        <v>108</v>
      </c>
      <c r="G7" s="11" t="s">
        <v>116</v>
      </c>
    </row>
    <row r="8" spans="1:7" x14ac:dyDescent="0.3">
      <c r="A8" s="11" t="s">
        <v>117</v>
      </c>
      <c r="B8" s="11" t="s">
        <v>106</v>
      </c>
      <c r="C8" s="11" t="s">
        <v>68</v>
      </c>
      <c r="D8" s="11" t="s">
        <v>30</v>
      </c>
      <c r="E8" s="11" t="s">
        <v>118</v>
      </c>
      <c r="F8" s="11" t="s">
        <v>108</v>
      </c>
      <c r="G8" s="11" t="s">
        <v>119</v>
      </c>
    </row>
    <row r="9" spans="1:7" x14ac:dyDescent="0.3">
      <c r="A9" s="11" t="s">
        <v>120</v>
      </c>
      <c r="B9" s="11" t="s">
        <v>106</v>
      </c>
      <c r="C9" s="11" t="s">
        <v>92</v>
      </c>
      <c r="D9" s="11" t="s">
        <v>30</v>
      </c>
      <c r="E9" s="11" t="s">
        <v>113</v>
      </c>
      <c r="F9" s="11" t="s">
        <v>108</v>
      </c>
      <c r="G9" s="11" t="s">
        <v>121</v>
      </c>
    </row>
    <row r="10" spans="1:7" x14ac:dyDescent="0.3">
      <c r="A10" s="11" t="s">
        <v>122</v>
      </c>
      <c r="B10" s="11" t="s">
        <v>123</v>
      </c>
      <c r="C10" s="11" t="s">
        <v>74</v>
      </c>
      <c r="D10" s="11" t="s">
        <v>28</v>
      </c>
      <c r="E10" s="11" t="s">
        <v>124</v>
      </c>
      <c r="F10" s="11" t="s">
        <v>108</v>
      </c>
      <c r="G10" s="11" t="s">
        <v>125</v>
      </c>
    </row>
    <row r="11" spans="1:7" x14ac:dyDescent="0.3">
      <c r="A11" s="11" t="s">
        <v>126</v>
      </c>
      <c r="B11" s="11" t="s">
        <v>123</v>
      </c>
      <c r="C11" s="11" t="s">
        <v>80</v>
      </c>
      <c r="D11" s="11" t="s">
        <v>30</v>
      </c>
      <c r="E11" s="11" t="s">
        <v>127</v>
      </c>
      <c r="F11" s="11" t="s">
        <v>108</v>
      </c>
      <c r="G11" s="11" t="s">
        <v>128</v>
      </c>
    </row>
    <row r="12" spans="1:7" ht="27.6" x14ac:dyDescent="0.3">
      <c r="A12" s="11" t="s">
        <v>129</v>
      </c>
      <c r="B12" s="11" t="s">
        <v>130</v>
      </c>
      <c r="C12" s="11" t="s">
        <v>86</v>
      </c>
      <c r="D12" s="11" t="s">
        <v>30</v>
      </c>
      <c r="E12" s="11" t="s">
        <v>118</v>
      </c>
      <c r="F12" s="11" t="s">
        <v>108</v>
      </c>
      <c r="G12" s="11" t="s">
        <v>131</v>
      </c>
    </row>
  </sheetData>
  <mergeCells count="1">
    <mergeCell ref="A1:G2"/>
  </mergeCells>
  <printOptions horizontalCentered="1"/>
  <pageMargins left="0.3" right="0.3" top="0.4" bottom="0.4" header="0.3" footer="0.3"/>
  <pageSetup paperSize="9" scale="74"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FA42C-05BA-48AC-A679-345BA70AD0E1}">
  <sheetPr>
    <pageSetUpPr fitToPage="1"/>
  </sheetPr>
  <dimension ref="A1:F11"/>
  <sheetViews>
    <sheetView showGridLines="0" zoomScale="85" zoomScaleNormal="85" workbookViewId="0">
      <selection activeCell="G11" sqref="G11"/>
    </sheetView>
  </sheetViews>
  <sheetFormatPr defaultRowHeight="14.4" x14ac:dyDescent="0.3"/>
  <cols>
    <col min="1" max="1" width="24.77734375" customWidth="1"/>
    <col min="2" max="2" width="12.77734375" customWidth="1"/>
    <col min="3" max="3" width="4.77734375" customWidth="1"/>
    <col min="4" max="4" width="22.77734375" customWidth="1"/>
    <col min="5" max="5" width="12.77734375" customWidth="1"/>
    <col min="6" max="6" width="34.77734375" customWidth="1"/>
  </cols>
  <sheetData>
    <row r="1" spans="1:6" x14ac:dyDescent="0.3">
      <c r="A1" s="21" t="s">
        <v>132</v>
      </c>
      <c r="B1" s="21"/>
      <c r="C1" s="21"/>
      <c r="D1" s="21"/>
      <c r="E1" s="21"/>
      <c r="F1" s="21"/>
    </row>
    <row r="2" spans="1:6" x14ac:dyDescent="0.3">
      <c r="A2" s="21"/>
      <c r="B2" s="21"/>
      <c r="C2" s="21"/>
      <c r="D2" s="21"/>
      <c r="E2" s="21"/>
      <c r="F2" s="21"/>
    </row>
    <row r="4" spans="1:6" x14ac:dyDescent="0.3">
      <c r="A4" s="22" t="s">
        <v>133</v>
      </c>
      <c r="B4" s="22"/>
      <c r="C4" s="22"/>
      <c r="D4" s="22"/>
      <c r="E4" s="22"/>
      <c r="F4" s="22"/>
    </row>
    <row r="6" spans="1:6" ht="28.8" x14ac:dyDescent="0.3">
      <c r="A6" s="12" t="s">
        <v>134</v>
      </c>
      <c r="B6" s="12" t="s">
        <v>135</v>
      </c>
      <c r="C6" s="13"/>
      <c r="D6" s="12" t="s">
        <v>141</v>
      </c>
      <c r="E6" s="12" t="s">
        <v>135</v>
      </c>
      <c r="F6" s="12" t="s">
        <v>101</v>
      </c>
    </row>
    <row r="7" spans="1:6" ht="57.6" x14ac:dyDescent="0.3">
      <c r="A7" s="14" t="s">
        <v>136</v>
      </c>
      <c r="B7" s="14">
        <f>COUNTA('Test Cases'!A2:A10)</f>
        <v>9</v>
      </c>
      <c r="C7" s="13"/>
      <c r="D7" s="14" t="s">
        <v>106</v>
      </c>
      <c r="E7" s="14">
        <f>COUNTIF('Test Cases'!A2:A10,"WEB-*")</f>
        <v>6</v>
      </c>
      <c r="F7" s="14" t="s">
        <v>142</v>
      </c>
    </row>
    <row r="8" spans="1:6" ht="57.6" x14ac:dyDescent="0.3">
      <c r="A8" s="14" t="s">
        <v>137</v>
      </c>
      <c r="B8" s="14">
        <f>COUNTBLANK('Test Cases'!H2:H10)</f>
        <v>9</v>
      </c>
      <c r="C8" s="13"/>
      <c r="D8" s="14" t="s">
        <v>123</v>
      </c>
      <c r="E8" s="14">
        <f>COUNTIF('Test Cases'!A2:A10,"MOB-*")</f>
        <v>2</v>
      </c>
      <c r="F8" s="14" t="s">
        <v>143</v>
      </c>
    </row>
    <row r="9" spans="1:6" ht="43.2" x14ac:dyDescent="0.3">
      <c r="A9" s="14" t="s">
        <v>138</v>
      </c>
      <c r="B9" s="14">
        <f>COUNTIF('Test Cases'!H2:H10,"Passed")</f>
        <v>0</v>
      </c>
      <c r="C9" s="13"/>
      <c r="D9" s="14" t="s">
        <v>130</v>
      </c>
      <c r="E9" s="14">
        <f>COUNTIF('Test Cases'!A2:A10,"E2E-*")</f>
        <v>1</v>
      </c>
      <c r="F9" s="14" t="s">
        <v>86</v>
      </c>
    </row>
    <row r="10" spans="1:6" ht="43.2" x14ac:dyDescent="0.3">
      <c r="A10" s="14" t="s">
        <v>139</v>
      </c>
      <c r="B10" s="14">
        <f>COUNTIF('Test Cases'!H2:H10,"Failed")</f>
        <v>0</v>
      </c>
      <c r="C10" s="13"/>
      <c r="D10" s="14" t="s">
        <v>28</v>
      </c>
      <c r="E10" s="14">
        <f>COUNTIF('Test Cases'!G2:G10,"Tier 1")</f>
        <v>3</v>
      </c>
      <c r="F10" s="14" t="s">
        <v>144</v>
      </c>
    </row>
    <row r="11" spans="1:6" ht="43.2" x14ac:dyDescent="0.3">
      <c r="A11" s="14" t="s">
        <v>140</v>
      </c>
      <c r="B11" s="14">
        <f>COUNTIF('Test Cases'!H2:H10,"Blocked")</f>
        <v>0</v>
      </c>
      <c r="C11" s="13"/>
      <c r="D11" s="14" t="s">
        <v>30</v>
      </c>
      <c r="E11" s="14">
        <f>COUNTIF('Test Cases'!G2:G10,"Tier 2")</f>
        <v>6</v>
      </c>
      <c r="F11" s="14" t="s">
        <v>145</v>
      </c>
    </row>
  </sheetData>
  <mergeCells count="2">
    <mergeCell ref="A1:F2"/>
    <mergeCell ref="A4:F4"/>
  </mergeCells>
  <printOptions horizontalCentered="1"/>
  <pageMargins left="0.35" right="0.35" top="0.4" bottom="0.4" header="0.3" footer="0.3"/>
  <pageSetup paperSize="9"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5</vt:i4>
      </vt:variant>
    </vt:vector>
  </HeadingPairs>
  <TitlesOfParts>
    <vt:vector size="9" baseType="lpstr">
      <vt:lpstr>Overview</vt:lpstr>
      <vt:lpstr>Test Cases</vt:lpstr>
      <vt:lpstr>Traceability</vt:lpstr>
      <vt:lpstr>Execution Summary</vt:lpstr>
      <vt:lpstr>'Execution Summary'!Print_Area</vt:lpstr>
      <vt:lpstr>Overview!Print_Area</vt:lpstr>
      <vt:lpstr>'Test Cases'!Print_Area</vt:lpstr>
      <vt:lpstr>Traceability!Print_Area</vt:lpstr>
      <vt:lpstr>'Test Cases'!Print_Titles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eDOT QA Automation Manual Test Cases</dc:title>
  <dc:subject>Manual test design for eSuite Web and eWork SFA Mobile</dc:subject>
  <dc:creator>Ryan Hidayat</dc:creator>
  <dc:description>Prepared against Take Home Test QA Automation Engineer eDOT V4</dc:description>
  <cp:lastModifiedBy>ryan hidayat</cp:lastModifiedBy>
  <dcterms:created xsi:type="dcterms:W3CDTF">2026-09-05T06:42:38Z</dcterms:created>
  <dcterms:modified xsi:type="dcterms:W3CDTF">2026-09-05T06:56:03Z</dcterms:modified>
</cp:coreProperties>
</file>